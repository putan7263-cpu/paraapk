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ekt\Slava PS Game Search  New Desing\"/>
    </mc:Choice>
  </mc:AlternateContent>
  <xr:revisionPtr revIDLastSave="0" documentId="13_ncr:1_{F5AFCA62-34EC-439F-B65E-74B43071295C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Турция (en-tr)" sheetId="1" r:id="rId1"/>
    <sheet name="Украина (ru-ua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5" i="2" l="1"/>
  <c r="G45" i="2" s="1"/>
  <c r="E44" i="2"/>
  <c r="G44" i="2" s="1"/>
  <c r="G43" i="2"/>
  <c r="E43" i="2"/>
  <c r="F43" i="2" s="1"/>
  <c r="E42" i="2"/>
  <c r="G42" i="2" s="1"/>
  <c r="E41" i="2"/>
  <c r="G41" i="2" s="1"/>
  <c r="E40" i="2"/>
  <c r="G40" i="2" s="1"/>
  <c r="G39" i="2"/>
  <c r="J39" i="2" s="1"/>
  <c r="E39" i="2"/>
  <c r="F39" i="2" s="1"/>
  <c r="E38" i="2"/>
  <c r="G38" i="2" s="1"/>
  <c r="E37" i="2"/>
  <c r="G37" i="2" s="1"/>
  <c r="E36" i="2"/>
  <c r="G36" i="2" s="1"/>
  <c r="G35" i="2"/>
  <c r="E35" i="2"/>
  <c r="F35" i="2" s="1"/>
  <c r="E34" i="2"/>
  <c r="G34" i="2" s="1"/>
  <c r="E33" i="2"/>
  <c r="G33" i="2" s="1"/>
  <c r="E32" i="2"/>
  <c r="G32" i="2" s="1"/>
  <c r="G31" i="2"/>
  <c r="J31" i="2" s="1"/>
  <c r="E31" i="2"/>
  <c r="F31" i="2" s="1"/>
  <c r="E30" i="2"/>
  <c r="G30" i="2" s="1"/>
  <c r="E29" i="2"/>
  <c r="G29" i="2" s="1"/>
  <c r="E28" i="2"/>
  <c r="G28" i="2" s="1"/>
  <c r="G27" i="2"/>
  <c r="E27" i="2"/>
  <c r="F27" i="2" s="1"/>
  <c r="E26" i="2"/>
  <c r="G26" i="2" s="1"/>
  <c r="E25" i="2"/>
  <c r="G25" i="2" s="1"/>
  <c r="E24" i="2"/>
  <c r="G24" i="2" s="1"/>
  <c r="G23" i="2"/>
  <c r="J23" i="2" s="1"/>
  <c r="E23" i="2"/>
  <c r="F23" i="2" s="1"/>
  <c r="E22" i="2"/>
  <c r="G22" i="2" s="1"/>
  <c r="E21" i="2"/>
  <c r="G21" i="2" s="1"/>
  <c r="E20" i="2"/>
  <c r="G20" i="2" s="1"/>
  <c r="G19" i="2"/>
  <c r="E19" i="2"/>
  <c r="F19" i="2" s="1"/>
  <c r="E18" i="2"/>
  <c r="G18" i="2" s="1"/>
  <c r="E17" i="2"/>
  <c r="G17" i="2" s="1"/>
  <c r="E16" i="2"/>
  <c r="G16" i="2" s="1"/>
  <c r="G15" i="2"/>
  <c r="E15" i="2"/>
  <c r="F15" i="2" s="1"/>
  <c r="B9" i="2"/>
  <c r="B8" i="2"/>
  <c r="B10" i="2" s="1"/>
  <c r="B11" i="2" s="1"/>
  <c r="B7" i="2"/>
  <c r="E48" i="1"/>
  <c r="G48" i="1" s="1"/>
  <c r="F47" i="1"/>
  <c r="E47" i="1"/>
  <c r="G47" i="1" s="1"/>
  <c r="J46" i="1"/>
  <c r="I46" i="1"/>
  <c r="H46" i="1"/>
  <c r="G46" i="1"/>
  <c r="F46" i="1"/>
  <c r="E46" i="1"/>
  <c r="G45" i="1"/>
  <c r="J45" i="1" s="1"/>
  <c r="F45" i="1"/>
  <c r="E45" i="1"/>
  <c r="E44" i="1"/>
  <c r="G44" i="1" s="1"/>
  <c r="F43" i="1"/>
  <c r="E43" i="1"/>
  <c r="G43" i="1" s="1"/>
  <c r="G42" i="1"/>
  <c r="J42" i="1" s="1"/>
  <c r="F42" i="1"/>
  <c r="E42" i="1"/>
  <c r="G41" i="1"/>
  <c r="J41" i="1" s="1"/>
  <c r="F41" i="1"/>
  <c r="E41" i="1"/>
  <c r="E40" i="1"/>
  <c r="G40" i="1" s="1"/>
  <c r="F39" i="1"/>
  <c r="E39" i="1"/>
  <c r="G39" i="1" s="1"/>
  <c r="G38" i="1"/>
  <c r="J38" i="1" s="1"/>
  <c r="F38" i="1"/>
  <c r="E38" i="1"/>
  <c r="G37" i="1"/>
  <c r="F37" i="1"/>
  <c r="E37" i="1"/>
  <c r="E36" i="1"/>
  <c r="G36" i="1" s="1"/>
  <c r="F35" i="1"/>
  <c r="E35" i="1"/>
  <c r="G35" i="1" s="1"/>
  <c r="J35" i="1" s="1"/>
  <c r="G34" i="1"/>
  <c r="J34" i="1" s="1"/>
  <c r="F34" i="1"/>
  <c r="E34" i="1"/>
  <c r="G33" i="1"/>
  <c r="F33" i="1"/>
  <c r="E33" i="1"/>
  <c r="E32" i="1"/>
  <c r="G32" i="1" s="1"/>
  <c r="F31" i="1"/>
  <c r="E31" i="1"/>
  <c r="G31" i="1" s="1"/>
  <c r="J31" i="1" s="1"/>
  <c r="G30" i="1"/>
  <c r="J30" i="1" s="1"/>
  <c r="F30" i="1"/>
  <c r="I30" i="1" s="1"/>
  <c r="E30" i="1"/>
  <c r="G29" i="1"/>
  <c r="I29" i="1" s="1"/>
  <c r="F29" i="1"/>
  <c r="E29" i="1"/>
  <c r="E28" i="1"/>
  <c r="G28" i="1" s="1"/>
  <c r="F27" i="1"/>
  <c r="E27" i="1"/>
  <c r="G27" i="1" s="1"/>
  <c r="J27" i="1" s="1"/>
  <c r="G26" i="1"/>
  <c r="J26" i="1" s="1"/>
  <c r="F26" i="1"/>
  <c r="E26" i="1"/>
  <c r="G25" i="1"/>
  <c r="I25" i="1" s="1"/>
  <c r="F25" i="1"/>
  <c r="E25" i="1"/>
  <c r="E24" i="1"/>
  <c r="G24" i="1" s="1"/>
  <c r="F23" i="1"/>
  <c r="H23" i="1" s="1"/>
  <c r="E23" i="1"/>
  <c r="G23" i="1" s="1"/>
  <c r="J23" i="1" s="1"/>
  <c r="G22" i="1"/>
  <c r="F22" i="1"/>
  <c r="E22" i="1"/>
  <c r="G21" i="1"/>
  <c r="F21" i="1"/>
  <c r="E21" i="1"/>
  <c r="E20" i="1"/>
  <c r="G20" i="1" s="1"/>
  <c r="F19" i="1"/>
  <c r="E19" i="1"/>
  <c r="G19" i="1" s="1"/>
  <c r="I19" i="1" s="1"/>
  <c r="G18" i="1"/>
  <c r="H18" i="1" s="1"/>
  <c r="F18" i="1"/>
  <c r="I18" i="1" s="1"/>
  <c r="E18" i="1"/>
  <c r="B12" i="1"/>
  <c r="B11" i="1"/>
  <c r="B10" i="1"/>
  <c r="C9" i="1"/>
  <c r="B9" i="1"/>
  <c r="B13" i="1" l="1"/>
  <c r="B14" i="1" s="1"/>
  <c r="H34" i="1"/>
  <c r="I22" i="1"/>
  <c r="J21" i="1"/>
  <c r="H42" i="1"/>
  <c r="H38" i="1"/>
  <c r="I38" i="1"/>
  <c r="I34" i="1"/>
  <c r="I42" i="1"/>
  <c r="J29" i="1"/>
  <c r="H27" i="1"/>
  <c r="J25" i="1"/>
  <c r="H30" i="1"/>
  <c r="I26" i="1"/>
  <c r="H19" i="1"/>
  <c r="J15" i="2"/>
  <c r="H28" i="2"/>
  <c r="I32" i="1"/>
  <c r="H32" i="1"/>
  <c r="I21" i="1"/>
  <c r="J21" i="2"/>
  <c r="J27" i="2"/>
  <c r="H40" i="2"/>
  <c r="J40" i="2"/>
  <c r="J19" i="1"/>
  <c r="J33" i="1"/>
  <c r="I36" i="1"/>
  <c r="H36" i="1"/>
  <c r="I47" i="1"/>
  <c r="H47" i="1"/>
  <c r="J47" i="1"/>
  <c r="J29" i="2"/>
  <c r="I29" i="2"/>
  <c r="J35" i="2"/>
  <c r="J36" i="2"/>
  <c r="I36" i="2"/>
  <c r="J22" i="1"/>
  <c r="H26" i="1"/>
  <c r="I31" i="1"/>
  <c r="H31" i="1"/>
  <c r="J48" i="1"/>
  <c r="I48" i="1"/>
  <c r="J37" i="2"/>
  <c r="J43" i="2"/>
  <c r="I35" i="1"/>
  <c r="H35" i="1"/>
  <c r="I39" i="1"/>
  <c r="H39" i="1"/>
  <c r="J39" i="1"/>
  <c r="J18" i="1"/>
  <c r="H22" i="1"/>
  <c r="I27" i="1"/>
  <c r="J37" i="1"/>
  <c r="I40" i="1"/>
  <c r="I38" i="2"/>
  <c r="I20" i="1"/>
  <c r="I30" i="2"/>
  <c r="I23" i="1"/>
  <c r="I43" i="1"/>
  <c r="H43" i="1"/>
  <c r="J43" i="1"/>
  <c r="B13" i="2"/>
  <c r="B12" i="2"/>
  <c r="J19" i="2"/>
  <c r="J26" i="2"/>
  <c r="I26" i="2"/>
  <c r="H26" i="2"/>
  <c r="H32" i="2"/>
  <c r="J32" i="2"/>
  <c r="I32" i="2"/>
  <c r="H15" i="2"/>
  <c r="F18" i="2"/>
  <c r="J18" i="2" s="1"/>
  <c r="H19" i="2"/>
  <c r="F22" i="2"/>
  <c r="H22" i="2" s="1"/>
  <c r="H23" i="2"/>
  <c r="F26" i="2"/>
  <c r="H27" i="2"/>
  <c r="F30" i="2"/>
  <c r="J30" i="2" s="1"/>
  <c r="H31" i="2"/>
  <c r="F34" i="2"/>
  <c r="J34" i="2" s="1"/>
  <c r="H35" i="2"/>
  <c r="F38" i="2"/>
  <c r="H38" i="2" s="1"/>
  <c r="H39" i="2"/>
  <c r="F42" i="2"/>
  <c r="J42" i="2" s="1"/>
  <c r="H43" i="2"/>
  <c r="F20" i="1"/>
  <c r="J20" i="1" s="1"/>
  <c r="H21" i="1"/>
  <c r="F24" i="1"/>
  <c r="H24" i="1" s="1"/>
  <c r="H25" i="1"/>
  <c r="F28" i="1"/>
  <c r="J28" i="1" s="1"/>
  <c r="H29" i="1"/>
  <c r="F32" i="1"/>
  <c r="J32" i="1" s="1"/>
  <c r="H33" i="1"/>
  <c r="F36" i="1"/>
  <c r="J36" i="1" s="1"/>
  <c r="H37" i="1"/>
  <c r="F40" i="1"/>
  <c r="J40" i="1" s="1"/>
  <c r="H41" i="1"/>
  <c r="F44" i="1"/>
  <c r="H44" i="1" s="1"/>
  <c r="H45" i="1"/>
  <c r="F48" i="1"/>
  <c r="H48" i="1" s="1"/>
  <c r="I15" i="2"/>
  <c r="I19" i="2"/>
  <c r="I23" i="2"/>
  <c r="I27" i="2"/>
  <c r="I31" i="2"/>
  <c r="I35" i="2"/>
  <c r="I39" i="2"/>
  <c r="I43" i="2"/>
  <c r="I33" i="1"/>
  <c r="I37" i="1"/>
  <c r="I41" i="1"/>
  <c r="I45" i="1"/>
  <c r="F17" i="2"/>
  <c r="J17" i="2" s="1"/>
  <c r="F21" i="2"/>
  <c r="I21" i="2" s="1"/>
  <c r="F25" i="2"/>
  <c r="J25" i="2" s="1"/>
  <c r="F29" i="2"/>
  <c r="H29" i="2" s="1"/>
  <c r="F33" i="2"/>
  <c r="J33" i="2" s="1"/>
  <c r="F37" i="2"/>
  <c r="I37" i="2" s="1"/>
  <c r="F41" i="2"/>
  <c r="J41" i="2" s="1"/>
  <c r="F45" i="2"/>
  <c r="J45" i="2" s="1"/>
  <c r="F16" i="2"/>
  <c r="H16" i="2" s="1"/>
  <c r="F20" i="2"/>
  <c r="I20" i="2" s="1"/>
  <c r="F24" i="2"/>
  <c r="I24" i="2" s="1"/>
  <c r="F28" i="2"/>
  <c r="J28" i="2" s="1"/>
  <c r="F32" i="2"/>
  <c r="F36" i="2"/>
  <c r="H36" i="2" s="1"/>
  <c r="F40" i="2"/>
  <c r="I40" i="2" s="1"/>
  <c r="F44" i="2"/>
  <c r="H44" i="2" s="1"/>
  <c r="J20" i="2" l="1"/>
  <c r="H25" i="2"/>
  <c r="B15" i="1"/>
  <c r="B16" i="1"/>
  <c r="J24" i="2"/>
  <c r="I16" i="2"/>
  <c r="H34" i="2"/>
  <c r="I44" i="1"/>
  <c r="I22" i="2"/>
  <c r="H20" i="2"/>
  <c r="I25" i="2"/>
  <c r="H24" i="2"/>
  <c r="H42" i="2"/>
  <c r="J16" i="2"/>
  <c r="I34" i="2"/>
  <c r="J44" i="1"/>
  <c r="H41" i="2"/>
  <c r="J22" i="2"/>
  <c r="I44" i="2"/>
  <c r="H17" i="2"/>
  <c r="H18" i="2"/>
  <c r="I42" i="2"/>
  <c r="H28" i="1"/>
  <c r="I41" i="2"/>
  <c r="J38" i="2"/>
  <c r="H45" i="2"/>
  <c r="H30" i="2"/>
  <c r="J44" i="2"/>
  <c r="H40" i="1"/>
  <c r="I17" i="2"/>
  <c r="I18" i="2"/>
  <c r="J24" i="1"/>
  <c r="I24" i="1"/>
  <c r="H33" i="2"/>
  <c r="I28" i="1"/>
  <c r="H37" i="2"/>
  <c r="H21" i="2"/>
  <c r="I33" i="2"/>
  <c r="I28" i="2"/>
  <c r="I45" i="2"/>
  <c r="H20" i="1"/>
</calcChain>
</file>

<file path=xl/sharedStrings.xml><?xml version="1.0" encoding="utf-8"?>
<sst xmlns="http://schemas.openxmlformats.org/spreadsheetml/2006/main" count="76" uniqueCount="45">
  <si>
    <t>Наценки и расчёты — Турция (en-tr)</t>
  </si>
  <si>
    <t>Курс ₽ за 1 ₺ (обычный):</t>
  </si>
  <si>
    <t>← редактируемое (жёлтое)</t>
  </si>
  <si>
    <t>Курс ₽ за 1 ₺ (на дешёвые игры):</t>
  </si>
  <si>
    <t>Порог дешёвой цены ₺ (≤):</t>
  </si>
  <si>
    <t>при цене ≤ ₺ 150 используется второй курс</t>
  </si>
  <si>
    <t xml:space="preserve">  КАЛЬКУЛЯТОР ЦЕНЫ</t>
  </si>
  <si>
    <t>Введите цену ₺:</t>
  </si>
  <si>
    <t>Применённый курс ₽:</t>
  </si>
  <si>
    <t>Закуп (себестоимость) ₽:</t>
  </si>
  <si>
    <t>Применённый коэффициент:</t>
  </si>
  <si>
    <t>Применённая добавка ₽:</t>
  </si>
  <si>
    <t>ПРОДАЖА ₽ (твоя цена):</t>
  </si>
  <si>
    <t>Прибыль ₽:</t>
  </si>
  <si>
    <t>Наценка % (к закупу):</t>
  </si>
  <si>
    <t>Маржа % (от продажи):</t>
  </si>
  <si>
    <t>Мин ₺</t>
  </si>
  <si>
    <t>Макс ₺</t>
  </si>
  <si>
    <t>Коэф</t>
  </si>
  <si>
    <t>Доб ₽</t>
  </si>
  <si>
    <t>Расч.цена ₺</t>
  </si>
  <si>
    <t>Закуп ₽</t>
  </si>
  <si>
    <t>Продажа ₽</t>
  </si>
  <si>
    <t>Прибыль ₽</t>
  </si>
  <si>
    <t>Наценка %</t>
  </si>
  <si>
    <t>Маржа %</t>
  </si>
  <si>
    <t>Легенда:</t>
  </si>
  <si>
    <t>Жёлтые ячейки</t>
  </si>
  <si>
    <t>редактируемые (курсы, порог, цена калькулятора)</t>
  </si>
  <si>
    <t>Зелёная ячейка</t>
  </si>
  <si>
    <t>итоговая твоя цена продажи в ₽</t>
  </si>
  <si>
    <t>Расч. цена</t>
  </si>
  <si>
    <t>середина диапазона — взята для наглядного расчёта</t>
  </si>
  <si>
    <t>Продажа</t>
  </si>
  <si>
    <t>формула как в программе: MROUND(цена×коэф + добавка, 10)</t>
  </si>
  <si>
    <t>(Продажа − Закуп) / Закуп — сколько накручиваешь сверху</t>
  </si>
  <si>
    <t>(Продажа − Закуп) / Продажа — какую долю составляет твоя прибыль</t>
  </si>
  <si>
    <t>Двухтарифный курс</t>
  </si>
  <si>
    <t>если цена ≤ ₺ 150 — закуп считается по курсу B4 (3.2 ₽/₺), иначе по B3</t>
  </si>
  <si>
    <t>Наценки и расчёты — Украина (ru-ua)</t>
  </si>
  <si>
    <t>Курс ₽ за 1 ₴:</t>
  </si>
  <si>
    <t>Введите цену ₴:</t>
  </si>
  <si>
    <t>Мин ₴</t>
  </si>
  <si>
    <t>Макс ₴</t>
  </si>
  <si>
    <t>Расч.цена 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</si>
</sst>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"/>
    <numFmt numFmtId="165" formatCode="#,##0.00\ &quot;₺&quot;"/>
    <numFmt numFmtId="166" formatCode="#,##0.00\ &quot;₽&quot;"/>
    <numFmt numFmtId="167" formatCode="#,##0\ &quot;₽&quot;"/>
    <numFmt numFmtId="168" formatCode="0.0\ %"/>
    <numFmt numFmtId="169" formatCode="#,##0\ &quot;₺&quot;"/>
    <numFmt numFmtId="170" formatCode="0\ %"/>
    <numFmt numFmtId="171" formatCode="#,##0.00\ &quot;₴&quot;"/>
    <numFmt numFmtId="172" formatCode="#,##0\ &quot;₴&quot;"/>
  </numFmts>
  <fonts count="8" x14ac:knownFonts="1">
    <font>
      <sz val="11"/>
      <color theme="1"/>
      <name val="Calibri"/>
      <family val="2"/>
      <scheme val="minor"/>
    </font>
    <font>
      <b/>
      <sz val="16"/>
      <color rgb="FF2F5496"/>
      <name val="Calibri"/>
    </font>
    <font>
      <b/>
      <sz val="11"/>
      <name val="Calibri"/>
    </font>
    <font>
      <i/>
      <sz val="10"/>
      <color rgb="FF7F7F7F"/>
      <name val="Calibri"/>
    </font>
    <font>
      <b/>
      <sz val="12"/>
      <color rgb="FFFFFFFF"/>
      <name val="Calibri"/>
    </font>
    <font>
      <b/>
      <sz val="12"/>
      <color rgb="FF2F5496"/>
      <name val="Calibri"/>
    </font>
    <font>
      <b/>
      <sz val="11"/>
      <color rgb="FFFFFFFF"/>
      <name val="Calibri"/>
    </font>
    <font>
      <i/>
      <sz val="11"/>
      <color rgb="FF2F549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left" vertical="center" indent="1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1" fontId="2" fillId="2" borderId="1" xfId="0" applyNumberFormat="1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16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5" fillId="4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169" fontId="0" fillId="6" borderId="1" xfId="0" applyNumberFormat="1" applyFill="1" applyBorder="1" applyAlignment="1">
      <alignment horizontal="center" vertical="center"/>
    </xf>
    <xf numFmtId="167" fontId="0" fillId="6" borderId="1" xfId="0" applyNumberFormat="1" applyFill="1" applyBorder="1" applyAlignment="1">
      <alignment horizontal="center" vertical="center"/>
    </xf>
    <xf numFmtId="167" fontId="2" fillId="6" borderId="1" xfId="0" applyNumberFormat="1" applyFont="1" applyFill="1" applyBorder="1" applyAlignment="1">
      <alignment horizontal="center" vertical="center"/>
    </xf>
    <xf numFmtId="170" fontId="0" fillId="6" borderId="1" xfId="0" applyNumberFormat="1" applyFill="1" applyBorder="1" applyAlignment="1">
      <alignment horizontal="center" vertical="center"/>
    </xf>
    <xf numFmtId="0" fontId="2" fillId="0" borderId="0" xfId="0" applyFont="1"/>
    <xf numFmtId="0" fontId="7" fillId="0" borderId="0" xfId="0" applyFont="1"/>
    <xf numFmtId="171" fontId="0" fillId="2" borderId="1" xfId="0" applyNumberFormat="1" applyFill="1" applyBorder="1" applyAlignment="1">
      <alignment horizontal="center" vertical="center"/>
    </xf>
    <xf numFmtId="172" fontId="0" fillId="0" borderId="1" xfId="0" applyNumberFormat="1" applyBorder="1" applyAlignment="1">
      <alignment horizontal="center" vertical="center"/>
    </xf>
    <xf numFmtId="172" fontId="0" fillId="6" borderId="1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3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workbookViewId="0">
      <pane ySplit="17" topLeftCell="A18" activePane="bottomLeft" state="frozen"/>
      <selection pane="bottomLeft" activeCell="D44" sqref="D44"/>
    </sheetView>
  </sheetViews>
  <sheetFormatPr defaultRowHeight="14.6" x14ac:dyDescent="0.4"/>
  <cols>
    <col min="1" max="1" width="28" customWidth="1"/>
    <col min="2" max="3" width="16" customWidth="1"/>
    <col min="4" max="4" width="12" customWidth="1"/>
    <col min="5" max="5" width="16" customWidth="1"/>
    <col min="6" max="8" width="14" customWidth="1"/>
    <col min="9" max="10" width="12" customWidth="1"/>
  </cols>
  <sheetData>
    <row r="1" spans="1:10" ht="26.05" customHeight="1" x14ac:dyDescent="0.4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3" spans="1:10" x14ac:dyDescent="0.4">
      <c r="A3" s="1" t="s">
        <v>1</v>
      </c>
      <c r="B3" s="2">
        <v>1.8</v>
      </c>
      <c r="C3" s="3" t="s">
        <v>2</v>
      </c>
    </row>
    <row r="4" spans="1:10" x14ac:dyDescent="0.4">
      <c r="A4" s="1" t="s">
        <v>3</v>
      </c>
      <c r="B4" s="2">
        <v>3.2</v>
      </c>
    </row>
    <row r="5" spans="1:10" x14ac:dyDescent="0.4">
      <c r="A5" s="1" t="s">
        <v>4</v>
      </c>
      <c r="B5" s="4">
        <v>150</v>
      </c>
      <c r="C5" s="3" t="s">
        <v>5</v>
      </c>
    </row>
    <row r="7" spans="1:10" ht="22" customHeight="1" x14ac:dyDescent="0.4">
      <c r="A7" s="32" t="s">
        <v>6</v>
      </c>
      <c r="B7" s="31"/>
    </row>
    <row r="8" spans="1:10" x14ac:dyDescent="0.4">
      <c r="A8" s="1" t="s">
        <v>7</v>
      </c>
      <c r="B8" s="5">
        <v>1000</v>
      </c>
    </row>
    <row r="9" spans="1:10" x14ac:dyDescent="0.4">
      <c r="A9" s="6" t="s">
        <v>8</v>
      </c>
      <c r="B9" s="7">
        <f>IF(B8&lt;=$B$5,$B$4,$B$3)</f>
        <v>1.8</v>
      </c>
      <c r="C9" s="3" t="e">
        <f>IF(цена ≤ B5, B4, B3)</f>
        <v>#NAME?</v>
      </c>
    </row>
    <row r="10" spans="1:10" x14ac:dyDescent="0.4">
      <c r="A10" s="6" t="s">
        <v>9</v>
      </c>
      <c r="B10" s="8">
        <f>B8*(IF(B8&lt;=$B$5,$B$4,$B$3))</f>
        <v>1800</v>
      </c>
    </row>
    <row r="11" spans="1:10" x14ac:dyDescent="0.4">
      <c r="A11" s="6" t="s">
        <v>10</v>
      </c>
      <c r="B11" s="9">
        <f>VLOOKUP(B8,$A$18:$D$48,3,TRUE)</f>
        <v>2</v>
      </c>
    </row>
    <row r="12" spans="1:10" x14ac:dyDescent="0.4">
      <c r="A12" s="6" t="s">
        <v>11</v>
      </c>
      <c r="B12" s="10">
        <f>VLOOKUP(B8,$A$18:$D$48,4,TRUE)</f>
        <v>200</v>
      </c>
    </row>
    <row r="13" spans="1:10" ht="15.9" x14ac:dyDescent="0.4">
      <c r="A13" s="1" t="s">
        <v>12</v>
      </c>
      <c r="B13" s="11">
        <f>MROUND(B8*B11+B12,10)</f>
        <v>2200</v>
      </c>
    </row>
    <row r="14" spans="1:10" x14ac:dyDescent="0.4">
      <c r="A14" s="6" t="s">
        <v>13</v>
      </c>
      <c r="B14" s="8">
        <f>B13-B10</f>
        <v>400</v>
      </c>
    </row>
    <row r="15" spans="1:10" x14ac:dyDescent="0.4">
      <c r="A15" s="6" t="s">
        <v>14</v>
      </c>
      <c r="B15" s="12">
        <f>IFERROR(B14/B10,0)</f>
        <v>0.22222222222222221</v>
      </c>
    </row>
    <row r="16" spans="1:10" x14ac:dyDescent="0.4">
      <c r="A16" s="6" t="s">
        <v>15</v>
      </c>
      <c r="B16" s="12">
        <f>IFERROR(B14/B13,0)</f>
        <v>0.18181818181818182</v>
      </c>
    </row>
    <row r="17" spans="1:10" ht="24" customHeight="1" x14ac:dyDescent="0.4">
      <c r="A17" s="13" t="s">
        <v>16</v>
      </c>
      <c r="B17" s="13" t="s">
        <v>17</v>
      </c>
      <c r="C17" s="13" t="s">
        <v>18</v>
      </c>
      <c r="D17" s="13" t="s">
        <v>19</v>
      </c>
      <c r="E17" s="13" t="s">
        <v>20</v>
      </c>
      <c r="F17" s="13" t="s">
        <v>21</v>
      </c>
      <c r="G17" s="13" t="s">
        <v>22</v>
      </c>
      <c r="H17" s="13" t="s">
        <v>23</v>
      </c>
      <c r="I17" s="13" t="s">
        <v>24</v>
      </c>
      <c r="J17" s="13" t="s">
        <v>25</v>
      </c>
    </row>
    <row r="18" spans="1:10" x14ac:dyDescent="0.4">
      <c r="A18" s="14">
        <v>1</v>
      </c>
      <c r="B18" s="14">
        <v>20</v>
      </c>
      <c r="C18" s="15">
        <v>2</v>
      </c>
      <c r="D18" s="14">
        <v>150</v>
      </c>
      <c r="E18" s="16">
        <f t="shared" ref="E18:E48" si="0">(A18+B18)/2</f>
        <v>10.5</v>
      </c>
      <c r="F18" s="10">
        <f t="shared" ref="F18:F48" si="1">E18*IF(E18&lt;=$B$5,$B$4,$B$3)</f>
        <v>33.6</v>
      </c>
      <c r="G18" s="17">
        <f t="shared" ref="G18:G48" si="2">MROUND(E18*C18+D18,10)</f>
        <v>170</v>
      </c>
      <c r="H18" s="10">
        <f t="shared" ref="H18:H48" si="3">G18-F18</f>
        <v>136.4</v>
      </c>
      <c r="I18" s="18">
        <f t="shared" ref="I18:I48" si="4">IFERROR((G18-F18)/F18,0)</f>
        <v>4.0595238095238093</v>
      </c>
      <c r="J18" s="18">
        <f t="shared" ref="J18:J48" si="5">IFERROR((G18-F18)/G18,0)</f>
        <v>0.8023529411764706</v>
      </c>
    </row>
    <row r="19" spans="1:10" x14ac:dyDescent="0.4">
      <c r="A19" s="19">
        <v>21</v>
      </c>
      <c r="B19" s="19">
        <v>50</v>
      </c>
      <c r="C19" s="15">
        <v>2</v>
      </c>
      <c r="D19" s="19">
        <v>150</v>
      </c>
      <c r="E19" s="21">
        <f t="shared" si="0"/>
        <v>35.5</v>
      </c>
      <c r="F19" s="22">
        <f t="shared" si="1"/>
        <v>113.60000000000001</v>
      </c>
      <c r="G19" s="23">
        <f t="shared" si="2"/>
        <v>220</v>
      </c>
      <c r="H19" s="22">
        <f t="shared" si="3"/>
        <v>106.39999999999999</v>
      </c>
      <c r="I19" s="24">
        <f t="shared" si="4"/>
        <v>0.93661971830985902</v>
      </c>
      <c r="J19" s="24">
        <f t="shared" si="5"/>
        <v>0.48363636363636359</v>
      </c>
    </row>
    <row r="20" spans="1:10" x14ac:dyDescent="0.4">
      <c r="A20" s="14">
        <v>51</v>
      </c>
      <c r="B20" s="14">
        <v>100</v>
      </c>
      <c r="C20" s="15">
        <v>2</v>
      </c>
      <c r="D20" s="14">
        <v>200</v>
      </c>
      <c r="E20" s="16">
        <f t="shared" si="0"/>
        <v>75.5</v>
      </c>
      <c r="F20" s="10">
        <f t="shared" si="1"/>
        <v>241.60000000000002</v>
      </c>
      <c r="G20" s="17">
        <f t="shared" si="2"/>
        <v>350</v>
      </c>
      <c r="H20" s="10">
        <f t="shared" si="3"/>
        <v>108.39999999999998</v>
      </c>
      <c r="I20" s="18">
        <f t="shared" si="4"/>
        <v>0.44867549668874157</v>
      </c>
      <c r="J20" s="18">
        <f t="shared" si="5"/>
        <v>0.30971428571428566</v>
      </c>
    </row>
    <row r="21" spans="1:10" x14ac:dyDescent="0.4">
      <c r="A21" s="19">
        <v>101</v>
      </c>
      <c r="B21" s="19">
        <v>125</v>
      </c>
      <c r="C21" s="15">
        <v>2</v>
      </c>
      <c r="D21" s="19">
        <v>200</v>
      </c>
      <c r="E21" s="21">
        <f t="shared" si="0"/>
        <v>113</v>
      </c>
      <c r="F21" s="22">
        <f t="shared" si="1"/>
        <v>361.6</v>
      </c>
      <c r="G21" s="23">
        <f t="shared" si="2"/>
        <v>430</v>
      </c>
      <c r="H21" s="22">
        <f t="shared" si="3"/>
        <v>68.399999999999977</v>
      </c>
      <c r="I21" s="24">
        <f t="shared" si="4"/>
        <v>0.18915929203539816</v>
      </c>
      <c r="J21" s="24">
        <f t="shared" si="5"/>
        <v>0.15906976744186041</v>
      </c>
    </row>
    <row r="22" spans="1:10" x14ac:dyDescent="0.4">
      <c r="A22" s="14">
        <v>126</v>
      </c>
      <c r="B22" s="14">
        <v>150</v>
      </c>
      <c r="C22" s="15">
        <v>2</v>
      </c>
      <c r="D22" s="14">
        <v>200</v>
      </c>
      <c r="E22" s="16">
        <f t="shared" si="0"/>
        <v>138</v>
      </c>
      <c r="F22" s="10">
        <f t="shared" si="1"/>
        <v>441.6</v>
      </c>
      <c r="G22" s="17">
        <f t="shared" si="2"/>
        <v>480</v>
      </c>
      <c r="H22" s="10">
        <f t="shared" si="3"/>
        <v>38.399999999999977</v>
      </c>
      <c r="I22" s="18">
        <f t="shared" si="4"/>
        <v>8.6956521739130377E-2</v>
      </c>
      <c r="J22" s="18">
        <f t="shared" si="5"/>
        <v>7.9999999999999946E-2</v>
      </c>
    </row>
    <row r="23" spans="1:10" x14ac:dyDescent="0.4">
      <c r="A23" s="19">
        <v>151</v>
      </c>
      <c r="B23" s="19">
        <v>200</v>
      </c>
      <c r="C23" s="15">
        <v>2</v>
      </c>
      <c r="D23" s="19">
        <v>150</v>
      </c>
      <c r="E23" s="21">
        <f t="shared" si="0"/>
        <v>175.5</v>
      </c>
      <c r="F23" s="22">
        <f t="shared" si="1"/>
        <v>315.90000000000003</v>
      </c>
      <c r="G23" s="23">
        <f t="shared" si="2"/>
        <v>500</v>
      </c>
      <c r="H23" s="22">
        <f t="shared" si="3"/>
        <v>184.09999999999997</v>
      </c>
      <c r="I23" s="24">
        <f t="shared" si="4"/>
        <v>0.58277936055713819</v>
      </c>
      <c r="J23" s="24">
        <f t="shared" si="5"/>
        <v>0.36819999999999992</v>
      </c>
    </row>
    <row r="24" spans="1:10" x14ac:dyDescent="0.4">
      <c r="A24" s="14">
        <v>201</v>
      </c>
      <c r="B24" s="14">
        <v>250</v>
      </c>
      <c r="C24" s="15">
        <v>2</v>
      </c>
      <c r="D24" s="14">
        <v>150</v>
      </c>
      <c r="E24" s="16">
        <f t="shared" si="0"/>
        <v>225.5</v>
      </c>
      <c r="F24" s="10">
        <f t="shared" si="1"/>
        <v>405.90000000000003</v>
      </c>
      <c r="G24" s="17">
        <f t="shared" si="2"/>
        <v>600</v>
      </c>
      <c r="H24" s="10">
        <f t="shared" si="3"/>
        <v>194.09999999999997</v>
      </c>
      <c r="I24" s="18">
        <f t="shared" si="4"/>
        <v>0.47819660014781956</v>
      </c>
      <c r="J24" s="18">
        <f t="shared" si="5"/>
        <v>0.32349999999999995</v>
      </c>
    </row>
    <row r="25" spans="1:10" x14ac:dyDescent="0.4">
      <c r="A25" s="19">
        <v>251</v>
      </c>
      <c r="B25" s="19">
        <v>300</v>
      </c>
      <c r="C25" s="15">
        <v>2</v>
      </c>
      <c r="D25" s="19">
        <v>160</v>
      </c>
      <c r="E25" s="21">
        <f t="shared" si="0"/>
        <v>275.5</v>
      </c>
      <c r="F25" s="22">
        <f t="shared" si="1"/>
        <v>495.90000000000003</v>
      </c>
      <c r="G25" s="23">
        <f t="shared" si="2"/>
        <v>710</v>
      </c>
      <c r="H25" s="22">
        <f t="shared" si="3"/>
        <v>214.09999999999997</v>
      </c>
      <c r="I25" s="24">
        <f t="shared" si="4"/>
        <v>0.43174027021576922</v>
      </c>
      <c r="J25" s="24">
        <f t="shared" si="5"/>
        <v>0.30154929577464784</v>
      </c>
    </row>
    <row r="26" spans="1:10" x14ac:dyDescent="0.4">
      <c r="A26" s="14">
        <v>301</v>
      </c>
      <c r="B26" s="14">
        <v>350</v>
      </c>
      <c r="C26" s="15">
        <v>2</v>
      </c>
      <c r="D26" s="14">
        <v>180</v>
      </c>
      <c r="E26" s="16">
        <f t="shared" si="0"/>
        <v>325.5</v>
      </c>
      <c r="F26" s="10">
        <f t="shared" si="1"/>
        <v>585.9</v>
      </c>
      <c r="G26" s="17">
        <f t="shared" si="2"/>
        <v>830</v>
      </c>
      <c r="H26" s="10">
        <f t="shared" si="3"/>
        <v>244.10000000000002</v>
      </c>
      <c r="I26" s="18">
        <f t="shared" si="4"/>
        <v>0.41662399726915861</v>
      </c>
      <c r="J26" s="18">
        <f t="shared" si="5"/>
        <v>0.29409638554216871</v>
      </c>
    </row>
    <row r="27" spans="1:10" x14ac:dyDescent="0.4">
      <c r="A27" s="19">
        <v>351</v>
      </c>
      <c r="B27" s="19">
        <v>400</v>
      </c>
      <c r="C27" s="15">
        <v>2</v>
      </c>
      <c r="D27" s="19">
        <v>190</v>
      </c>
      <c r="E27" s="21">
        <f t="shared" si="0"/>
        <v>375.5</v>
      </c>
      <c r="F27" s="22">
        <f t="shared" si="1"/>
        <v>675.9</v>
      </c>
      <c r="G27" s="23">
        <f t="shared" si="2"/>
        <v>940</v>
      </c>
      <c r="H27" s="22">
        <f t="shared" si="3"/>
        <v>264.10000000000002</v>
      </c>
      <c r="I27" s="24">
        <f t="shared" si="4"/>
        <v>0.39073827489273566</v>
      </c>
      <c r="J27" s="24">
        <f t="shared" si="5"/>
        <v>0.28095744680851065</v>
      </c>
    </row>
    <row r="28" spans="1:10" x14ac:dyDescent="0.4">
      <c r="A28" s="14">
        <v>401</v>
      </c>
      <c r="B28" s="14">
        <v>450</v>
      </c>
      <c r="C28" s="15">
        <v>2</v>
      </c>
      <c r="D28" s="14">
        <v>200</v>
      </c>
      <c r="E28" s="16">
        <f t="shared" si="0"/>
        <v>425.5</v>
      </c>
      <c r="F28" s="10">
        <f t="shared" si="1"/>
        <v>765.9</v>
      </c>
      <c r="G28" s="17">
        <f t="shared" si="2"/>
        <v>1050</v>
      </c>
      <c r="H28" s="10">
        <f t="shared" si="3"/>
        <v>284.10000000000002</v>
      </c>
      <c r="I28" s="18">
        <f t="shared" si="4"/>
        <v>0.37093615354484921</v>
      </c>
      <c r="J28" s="18">
        <f t="shared" si="5"/>
        <v>0.27057142857142857</v>
      </c>
    </row>
    <row r="29" spans="1:10" x14ac:dyDescent="0.4">
      <c r="A29" s="19">
        <v>451</v>
      </c>
      <c r="B29" s="19">
        <v>500</v>
      </c>
      <c r="C29" s="15">
        <v>2</v>
      </c>
      <c r="D29" s="19">
        <v>210</v>
      </c>
      <c r="E29" s="21">
        <f t="shared" si="0"/>
        <v>475.5</v>
      </c>
      <c r="F29" s="22">
        <f t="shared" si="1"/>
        <v>855.9</v>
      </c>
      <c r="G29" s="23">
        <f t="shared" si="2"/>
        <v>1160</v>
      </c>
      <c r="H29" s="22">
        <f t="shared" si="3"/>
        <v>304.10000000000002</v>
      </c>
      <c r="I29" s="24">
        <f t="shared" si="4"/>
        <v>0.35529851618179698</v>
      </c>
      <c r="J29" s="24">
        <f t="shared" si="5"/>
        <v>0.2621551724137931</v>
      </c>
    </row>
    <row r="30" spans="1:10" x14ac:dyDescent="0.4">
      <c r="A30" s="14">
        <v>501</v>
      </c>
      <c r="B30" s="14">
        <v>600</v>
      </c>
      <c r="C30" s="15">
        <v>2</v>
      </c>
      <c r="D30" s="14">
        <v>220</v>
      </c>
      <c r="E30" s="16">
        <f t="shared" si="0"/>
        <v>550.5</v>
      </c>
      <c r="F30" s="10">
        <f t="shared" si="1"/>
        <v>990.9</v>
      </c>
      <c r="G30" s="17">
        <f t="shared" si="2"/>
        <v>1320</v>
      </c>
      <c r="H30" s="10">
        <f t="shared" si="3"/>
        <v>329.1</v>
      </c>
      <c r="I30" s="18">
        <f t="shared" si="4"/>
        <v>0.33212231304874362</v>
      </c>
      <c r="J30" s="18">
        <f t="shared" si="5"/>
        <v>0.24931818181818183</v>
      </c>
    </row>
    <row r="31" spans="1:10" x14ac:dyDescent="0.4">
      <c r="A31" s="19">
        <v>601</v>
      </c>
      <c r="B31" s="19">
        <v>700</v>
      </c>
      <c r="C31" s="15">
        <v>2</v>
      </c>
      <c r="D31" s="19">
        <v>230</v>
      </c>
      <c r="E31" s="21">
        <f t="shared" si="0"/>
        <v>650.5</v>
      </c>
      <c r="F31" s="22">
        <f t="shared" si="1"/>
        <v>1170.9000000000001</v>
      </c>
      <c r="G31" s="23">
        <f t="shared" si="2"/>
        <v>1530</v>
      </c>
      <c r="H31" s="22">
        <f t="shared" si="3"/>
        <v>359.09999999999991</v>
      </c>
      <c r="I31" s="24">
        <f t="shared" si="4"/>
        <v>0.30668716372021509</v>
      </c>
      <c r="J31" s="24">
        <f t="shared" si="5"/>
        <v>0.23470588235294113</v>
      </c>
    </row>
    <row r="32" spans="1:10" x14ac:dyDescent="0.4">
      <c r="A32" s="14">
        <v>701</v>
      </c>
      <c r="B32" s="14">
        <v>800</v>
      </c>
      <c r="C32" s="15">
        <v>2</v>
      </c>
      <c r="D32" s="14">
        <v>220</v>
      </c>
      <c r="E32" s="16">
        <f t="shared" si="0"/>
        <v>750.5</v>
      </c>
      <c r="F32" s="10">
        <f t="shared" si="1"/>
        <v>1350.9</v>
      </c>
      <c r="G32" s="17">
        <f t="shared" si="2"/>
        <v>1720</v>
      </c>
      <c r="H32" s="10">
        <f t="shared" si="3"/>
        <v>369.09999999999991</v>
      </c>
      <c r="I32" s="18">
        <f t="shared" si="4"/>
        <v>0.27322525723591673</v>
      </c>
      <c r="J32" s="18">
        <f t="shared" si="5"/>
        <v>0.21459302325581389</v>
      </c>
    </row>
    <row r="33" spans="1:10" x14ac:dyDescent="0.4">
      <c r="A33" s="19">
        <v>801</v>
      </c>
      <c r="B33" s="19">
        <v>900</v>
      </c>
      <c r="C33" s="15">
        <v>2</v>
      </c>
      <c r="D33" s="19">
        <v>210</v>
      </c>
      <c r="E33" s="21">
        <f t="shared" si="0"/>
        <v>850.5</v>
      </c>
      <c r="F33" s="22">
        <f t="shared" si="1"/>
        <v>1530.9</v>
      </c>
      <c r="G33" s="23">
        <f t="shared" si="2"/>
        <v>1910</v>
      </c>
      <c r="H33" s="22">
        <f t="shared" si="3"/>
        <v>379.09999999999991</v>
      </c>
      <c r="I33" s="24">
        <f t="shared" si="4"/>
        <v>0.24763211182964262</v>
      </c>
      <c r="J33" s="24">
        <f t="shared" si="5"/>
        <v>0.19848167539267011</v>
      </c>
    </row>
    <row r="34" spans="1:10" x14ac:dyDescent="0.4">
      <c r="A34" s="14">
        <v>901</v>
      </c>
      <c r="B34" s="14">
        <v>1000</v>
      </c>
      <c r="C34" s="15">
        <v>2</v>
      </c>
      <c r="D34" s="14">
        <v>200</v>
      </c>
      <c r="E34" s="16">
        <f t="shared" si="0"/>
        <v>950.5</v>
      </c>
      <c r="F34" s="10">
        <f t="shared" si="1"/>
        <v>1710.9</v>
      </c>
      <c r="G34" s="17">
        <f t="shared" si="2"/>
        <v>2100</v>
      </c>
      <c r="H34" s="10">
        <f t="shared" si="3"/>
        <v>389.09999999999991</v>
      </c>
      <c r="I34" s="18">
        <f t="shared" si="4"/>
        <v>0.22742416272137464</v>
      </c>
      <c r="J34" s="18">
        <f t="shared" si="5"/>
        <v>0.18528571428571425</v>
      </c>
    </row>
    <row r="35" spans="1:10" x14ac:dyDescent="0.4">
      <c r="A35" s="19">
        <v>1001</v>
      </c>
      <c r="B35" s="19">
        <v>1100</v>
      </c>
      <c r="C35" s="15">
        <v>2</v>
      </c>
      <c r="D35" s="19">
        <v>190</v>
      </c>
      <c r="E35" s="21">
        <f t="shared" si="0"/>
        <v>1050.5</v>
      </c>
      <c r="F35" s="22">
        <f t="shared" si="1"/>
        <v>1890.9</v>
      </c>
      <c r="G35" s="23">
        <f t="shared" si="2"/>
        <v>2290</v>
      </c>
      <c r="H35" s="22">
        <f t="shared" si="3"/>
        <v>399.09999999999991</v>
      </c>
      <c r="I35" s="24">
        <f t="shared" si="4"/>
        <v>0.21106351472843612</v>
      </c>
      <c r="J35" s="24">
        <f t="shared" si="5"/>
        <v>0.17427947598253271</v>
      </c>
    </row>
    <row r="36" spans="1:10" x14ac:dyDescent="0.4">
      <c r="A36" s="14">
        <v>1101</v>
      </c>
      <c r="B36" s="14">
        <v>1200</v>
      </c>
      <c r="C36" s="15">
        <v>2</v>
      </c>
      <c r="D36" s="14">
        <v>190</v>
      </c>
      <c r="E36" s="16">
        <f t="shared" si="0"/>
        <v>1150.5</v>
      </c>
      <c r="F36" s="10">
        <f t="shared" si="1"/>
        <v>2070.9</v>
      </c>
      <c r="G36" s="17">
        <f t="shared" si="2"/>
        <v>2490</v>
      </c>
      <c r="H36" s="10">
        <f t="shared" si="3"/>
        <v>419.09999999999991</v>
      </c>
      <c r="I36" s="18">
        <f t="shared" si="4"/>
        <v>0.20237577864696504</v>
      </c>
      <c r="J36" s="18">
        <f t="shared" si="5"/>
        <v>0.16831325301204816</v>
      </c>
    </row>
    <row r="37" spans="1:10" x14ac:dyDescent="0.4">
      <c r="A37" s="19">
        <v>1201</v>
      </c>
      <c r="B37" s="19">
        <v>1300</v>
      </c>
      <c r="C37" s="15">
        <v>2</v>
      </c>
      <c r="D37" s="19">
        <v>190</v>
      </c>
      <c r="E37" s="21">
        <f t="shared" si="0"/>
        <v>1250.5</v>
      </c>
      <c r="F37" s="22">
        <f t="shared" si="1"/>
        <v>2250.9</v>
      </c>
      <c r="G37" s="23">
        <f t="shared" si="2"/>
        <v>2690</v>
      </c>
      <c r="H37" s="22">
        <f t="shared" si="3"/>
        <v>439.09999999999991</v>
      </c>
      <c r="I37" s="24">
        <f t="shared" si="4"/>
        <v>0.19507752454573721</v>
      </c>
      <c r="J37" s="24">
        <f t="shared" si="5"/>
        <v>0.1632342007434944</v>
      </c>
    </row>
    <row r="38" spans="1:10" x14ac:dyDescent="0.4">
      <c r="A38" s="14">
        <v>1301</v>
      </c>
      <c r="B38" s="14">
        <v>1400</v>
      </c>
      <c r="C38" s="15">
        <v>2</v>
      </c>
      <c r="D38" s="14">
        <v>190</v>
      </c>
      <c r="E38" s="16">
        <f t="shared" si="0"/>
        <v>1350.5</v>
      </c>
      <c r="F38" s="10">
        <f t="shared" si="1"/>
        <v>2430.9</v>
      </c>
      <c r="G38" s="17">
        <f t="shared" si="2"/>
        <v>2890</v>
      </c>
      <c r="H38" s="10">
        <f t="shared" si="3"/>
        <v>459.09999999999991</v>
      </c>
      <c r="I38" s="18">
        <f t="shared" si="4"/>
        <v>0.18886009296968195</v>
      </c>
      <c r="J38" s="18">
        <f t="shared" si="5"/>
        <v>0.15885813148788924</v>
      </c>
    </row>
    <row r="39" spans="1:10" x14ac:dyDescent="0.4">
      <c r="A39" s="19">
        <v>1401</v>
      </c>
      <c r="B39" s="19">
        <v>1500</v>
      </c>
      <c r="C39" s="15">
        <v>2</v>
      </c>
      <c r="D39" s="19">
        <v>190</v>
      </c>
      <c r="E39" s="21">
        <f t="shared" si="0"/>
        <v>1450.5</v>
      </c>
      <c r="F39" s="22">
        <f t="shared" si="1"/>
        <v>2610.9</v>
      </c>
      <c r="G39" s="23">
        <f t="shared" si="2"/>
        <v>3090</v>
      </c>
      <c r="H39" s="22">
        <f t="shared" si="3"/>
        <v>479.09999999999991</v>
      </c>
      <c r="I39" s="24">
        <f t="shared" si="4"/>
        <v>0.18349994254854643</v>
      </c>
      <c r="J39" s="24">
        <f t="shared" si="5"/>
        <v>0.15504854368932036</v>
      </c>
    </row>
    <row r="40" spans="1:10" x14ac:dyDescent="0.4">
      <c r="A40" s="14">
        <v>1501</v>
      </c>
      <c r="B40" s="14">
        <v>1700</v>
      </c>
      <c r="C40" s="15">
        <v>2</v>
      </c>
      <c r="D40" s="14">
        <v>190</v>
      </c>
      <c r="E40" s="16">
        <f t="shared" si="0"/>
        <v>1600.5</v>
      </c>
      <c r="F40" s="10">
        <f t="shared" si="1"/>
        <v>2880.9</v>
      </c>
      <c r="G40" s="17">
        <f t="shared" si="2"/>
        <v>3390</v>
      </c>
      <c r="H40" s="10">
        <f t="shared" si="3"/>
        <v>509.09999999999991</v>
      </c>
      <c r="I40" s="18">
        <f t="shared" si="4"/>
        <v>0.1767156097053004</v>
      </c>
      <c r="J40" s="18">
        <f t="shared" si="5"/>
        <v>0.15017699115044245</v>
      </c>
    </row>
    <row r="41" spans="1:10" x14ac:dyDescent="0.4">
      <c r="A41" s="19">
        <v>1701</v>
      </c>
      <c r="B41" s="19">
        <v>1900</v>
      </c>
      <c r="C41" s="15">
        <v>2</v>
      </c>
      <c r="D41" s="19">
        <v>190</v>
      </c>
      <c r="E41" s="21">
        <f t="shared" si="0"/>
        <v>1800.5</v>
      </c>
      <c r="F41" s="22">
        <f t="shared" si="1"/>
        <v>3240.9</v>
      </c>
      <c r="G41" s="23">
        <f t="shared" si="2"/>
        <v>3790</v>
      </c>
      <c r="H41" s="22">
        <f t="shared" si="3"/>
        <v>549.09999999999991</v>
      </c>
      <c r="I41" s="24">
        <f t="shared" si="4"/>
        <v>0.16942824524051958</v>
      </c>
      <c r="J41" s="24">
        <f t="shared" si="5"/>
        <v>0.14488126649076516</v>
      </c>
    </row>
    <row r="42" spans="1:10" x14ac:dyDescent="0.4">
      <c r="A42" s="14">
        <v>1901</v>
      </c>
      <c r="B42" s="14">
        <v>2100</v>
      </c>
      <c r="C42" s="15">
        <v>2</v>
      </c>
      <c r="D42" s="14">
        <v>200</v>
      </c>
      <c r="E42" s="16">
        <f t="shared" si="0"/>
        <v>2000.5</v>
      </c>
      <c r="F42" s="10">
        <f t="shared" si="1"/>
        <v>3600.9</v>
      </c>
      <c r="G42" s="17">
        <f t="shared" si="2"/>
        <v>4200</v>
      </c>
      <c r="H42" s="10">
        <f t="shared" si="3"/>
        <v>599.09999999999991</v>
      </c>
      <c r="I42" s="18">
        <f t="shared" si="4"/>
        <v>0.16637507289844203</v>
      </c>
      <c r="J42" s="18">
        <f t="shared" si="5"/>
        <v>0.14264285714285713</v>
      </c>
    </row>
    <row r="43" spans="1:10" x14ac:dyDescent="0.4">
      <c r="A43" s="19">
        <v>2101</v>
      </c>
      <c r="B43" s="19">
        <v>2300</v>
      </c>
      <c r="C43" s="15">
        <v>2</v>
      </c>
      <c r="D43" s="19">
        <v>190</v>
      </c>
      <c r="E43" s="21">
        <f t="shared" si="0"/>
        <v>2200.5</v>
      </c>
      <c r="F43" s="22">
        <f t="shared" si="1"/>
        <v>3960.9</v>
      </c>
      <c r="G43" s="23">
        <f t="shared" si="2"/>
        <v>4590</v>
      </c>
      <c r="H43" s="22">
        <f t="shared" si="3"/>
        <v>629.09999999999991</v>
      </c>
      <c r="I43" s="24">
        <f t="shared" si="4"/>
        <v>0.15882753919563733</v>
      </c>
      <c r="J43" s="24">
        <f t="shared" si="5"/>
        <v>0.13705882352941173</v>
      </c>
    </row>
    <row r="44" spans="1:10" x14ac:dyDescent="0.4">
      <c r="A44" s="14">
        <v>2301</v>
      </c>
      <c r="B44" s="14">
        <v>2500</v>
      </c>
      <c r="C44" s="15">
        <v>2</v>
      </c>
      <c r="D44" s="14">
        <v>180</v>
      </c>
      <c r="E44" s="16">
        <f t="shared" si="0"/>
        <v>2400.5</v>
      </c>
      <c r="F44" s="10">
        <f t="shared" si="1"/>
        <v>4320.9000000000005</v>
      </c>
      <c r="G44" s="17">
        <f t="shared" si="2"/>
        <v>4980</v>
      </c>
      <c r="H44" s="10">
        <f t="shared" si="3"/>
        <v>659.09999999999945</v>
      </c>
      <c r="I44" s="18">
        <f t="shared" si="4"/>
        <v>0.15253766576407679</v>
      </c>
      <c r="J44" s="18">
        <f t="shared" si="5"/>
        <v>0.13234939759036132</v>
      </c>
    </row>
    <row r="45" spans="1:10" x14ac:dyDescent="0.4">
      <c r="A45" s="19">
        <v>2501</v>
      </c>
      <c r="B45" s="19">
        <v>2700</v>
      </c>
      <c r="C45" s="15">
        <v>2</v>
      </c>
      <c r="D45" s="19">
        <v>170</v>
      </c>
      <c r="E45" s="21">
        <f t="shared" si="0"/>
        <v>2600.5</v>
      </c>
      <c r="F45" s="22">
        <f t="shared" si="1"/>
        <v>4680.9000000000005</v>
      </c>
      <c r="G45" s="23">
        <f t="shared" si="2"/>
        <v>5370</v>
      </c>
      <c r="H45" s="22">
        <f t="shared" si="3"/>
        <v>689.09999999999945</v>
      </c>
      <c r="I45" s="24">
        <f t="shared" si="4"/>
        <v>0.14721527911299095</v>
      </c>
      <c r="J45" s="24">
        <f t="shared" si="5"/>
        <v>0.12832402234636861</v>
      </c>
    </row>
    <row r="46" spans="1:10" x14ac:dyDescent="0.4">
      <c r="A46" s="14">
        <v>2701</v>
      </c>
      <c r="B46" s="14">
        <v>3000</v>
      </c>
      <c r="C46" s="15">
        <v>2</v>
      </c>
      <c r="D46" s="14">
        <v>160</v>
      </c>
      <c r="E46" s="16">
        <f t="shared" si="0"/>
        <v>2850.5</v>
      </c>
      <c r="F46" s="10">
        <f t="shared" si="1"/>
        <v>5130.9000000000005</v>
      </c>
      <c r="G46" s="17">
        <f t="shared" si="2"/>
        <v>5860</v>
      </c>
      <c r="H46" s="10">
        <f t="shared" si="3"/>
        <v>729.09999999999945</v>
      </c>
      <c r="I46" s="18">
        <f t="shared" si="4"/>
        <v>0.1420998265411525</v>
      </c>
      <c r="J46" s="18">
        <f t="shared" si="5"/>
        <v>0.1244197952218429</v>
      </c>
    </row>
    <row r="47" spans="1:10" x14ac:dyDescent="0.4">
      <c r="A47" s="19">
        <v>3001</v>
      </c>
      <c r="B47" s="19">
        <v>4000</v>
      </c>
      <c r="C47" s="15">
        <v>2</v>
      </c>
      <c r="D47" s="19">
        <v>150</v>
      </c>
      <c r="E47" s="21">
        <f t="shared" si="0"/>
        <v>3500.5</v>
      </c>
      <c r="F47" s="22">
        <f t="shared" si="1"/>
        <v>6300.9000000000005</v>
      </c>
      <c r="G47" s="23">
        <f t="shared" si="2"/>
        <v>7150</v>
      </c>
      <c r="H47" s="22">
        <f t="shared" si="3"/>
        <v>849.09999999999945</v>
      </c>
      <c r="I47" s="24">
        <f t="shared" si="4"/>
        <v>0.13475852655969772</v>
      </c>
      <c r="J47" s="24">
        <f t="shared" si="5"/>
        <v>0.11875524475524468</v>
      </c>
    </row>
    <row r="48" spans="1:10" x14ac:dyDescent="0.4">
      <c r="A48" s="14">
        <v>4000</v>
      </c>
      <c r="B48" s="14">
        <v>10000</v>
      </c>
      <c r="C48" s="15">
        <v>2</v>
      </c>
      <c r="D48" s="14">
        <v>150</v>
      </c>
      <c r="E48" s="16">
        <f t="shared" si="0"/>
        <v>7000</v>
      </c>
      <c r="F48" s="10">
        <f t="shared" si="1"/>
        <v>12600</v>
      </c>
      <c r="G48" s="17">
        <f t="shared" si="2"/>
        <v>14150</v>
      </c>
      <c r="H48" s="10">
        <f t="shared" si="3"/>
        <v>1550</v>
      </c>
      <c r="I48" s="18">
        <f t="shared" si="4"/>
        <v>0.12301587301587301</v>
      </c>
      <c r="J48" s="18">
        <f t="shared" si="5"/>
        <v>0.10954063604240283</v>
      </c>
    </row>
    <row r="50" spans="1:2" x14ac:dyDescent="0.4">
      <c r="A50" s="25" t="s">
        <v>26</v>
      </c>
    </row>
    <row r="51" spans="1:2" x14ac:dyDescent="0.4">
      <c r="A51" s="26" t="s">
        <v>27</v>
      </c>
      <c r="B51" s="6" t="s">
        <v>28</v>
      </c>
    </row>
    <row r="52" spans="1:2" x14ac:dyDescent="0.4">
      <c r="A52" s="26" t="s">
        <v>29</v>
      </c>
      <c r="B52" s="6" t="s">
        <v>30</v>
      </c>
    </row>
    <row r="53" spans="1:2" x14ac:dyDescent="0.4">
      <c r="A53" s="26" t="s">
        <v>31</v>
      </c>
      <c r="B53" s="6" t="s">
        <v>32</v>
      </c>
    </row>
    <row r="54" spans="1:2" x14ac:dyDescent="0.4">
      <c r="A54" s="26" t="s">
        <v>33</v>
      </c>
      <c r="B54" s="6" t="s">
        <v>34</v>
      </c>
    </row>
    <row r="55" spans="1:2" x14ac:dyDescent="0.4">
      <c r="A55" s="26" t="s">
        <v>24</v>
      </c>
      <c r="B55" s="6" t="s">
        <v>35</v>
      </c>
    </row>
    <row r="56" spans="1:2" x14ac:dyDescent="0.4">
      <c r="A56" s="26" t="s">
        <v>25</v>
      </c>
      <c r="B56" s="6" t="s">
        <v>36</v>
      </c>
    </row>
    <row r="57" spans="1:2" x14ac:dyDescent="0.4">
      <c r="A57" s="26" t="s">
        <v>37</v>
      </c>
      <c r="B57" s="6" t="s">
        <v>38</v>
      </c>
    </row>
  </sheetData>
  <mergeCells count="2">
    <mergeCell ref="A1:J1"/>
    <mergeCell ref="A7:B7"/>
  </mergeCells>
  <conditionalFormatting sqref="I18:I4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workbookViewId="0">
      <pane ySplit="14" topLeftCell="A15" activePane="bottomLeft" state="frozen"/>
      <selection pane="bottomLeft" sqref="A1:J1"/>
    </sheetView>
  </sheetViews>
  <sheetFormatPr defaultRowHeight="14.6" x14ac:dyDescent="0.4"/>
  <cols>
    <col min="1" max="1" width="28" customWidth="1"/>
    <col min="2" max="3" width="16" customWidth="1"/>
    <col min="4" max="4" width="12" customWidth="1"/>
    <col min="5" max="5" width="16" customWidth="1"/>
    <col min="6" max="8" width="14" customWidth="1"/>
    <col min="9" max="10" width="12" customWidth="1"/>
  </cols>
  <sheetData>
    <row r="1" spans="1:10" ht="26.05" customHeight="1" x14ac:dyDescent="0.4">
      <c r="A1" s="30" t="s">
        <v>39</v>
      </c>
      <c r="B1" s="31"/>
      <c r="C1" s="31"/>
      <c r="D1" s="31"/>
      <c r="E1" s="31"/>
      <c r="F1" s="31"/>
      <c r="G1" s="31"/>
      <c r="H1" s="31"/>
      <c r="I1" s="31"/>
      <c r="J1" s="31"/>
    </row>
    <row r="3" spans="1:10" x14ac:dyDescent="0.4">
      <c r="A3" s="1" t="s">
        <v>40</v>
      </c>
      <c r="B3" s="2">
        <v>1.88</v>
      </c>
      <c r="C3" s="3" t="s">
        <v>2</v>
      </c>
    </row>
    <row r="5" spans="1:10" ht="22" customHeight="1" x14ac:dyDescent="0.4">
      <c r="A5" s="32" t="s">
        <v>6</v>
      </c>
      <c r="B5" s="31"/>
    </row>
    <row r="6" spans="1:10" x14ac:dyDescent="0.4">
      <c r="A6" s="1" t="s">
        <v>41</v>
      </c>
      <c r="B6" s="27">
        <v>1000</v>
      </c>
    </row>
    <row r="7" spans="1:10" x14ac:dyDescent="0.4">
      <c r="A7" s="6" t="s">
        <v>9</v>
      </c>
      <c r="B7" s="8">
        <f>B6*$B$3</f>
        <v>1880</v>
      </c>
    </row>
    <row r="8" spans="1:10" x14ac:dyDescent="0.4">
      <c r="A8" s="6" t="s">
        <v>10</v>
      </c>
      <c r="B8" s="9">
        <f>VLOOKUP(B6,$A$15:$D$45,3,TRUE)</f>
        <v>2.2999999999999998</v>
      </c>
    </row>
    <row r="9" spans="1:10" x14ac:dyDescent="0.4">
      <c r="A9" s="6" t="s">
        <v>11</v>
      </c>
      <c r="B9" s="10">
        <f>VLOOKUP(B6,$A$15:$D$45,4,TRUE)</f>
        <v>0</v>
      </c>
    </row>
    <row r="10" spans="1:10" ht="15.9" x14ac:dyDescent="0.4">
      <c r="A10" s="1" t="s">
        <v>12</v>
      </c>
      <c r="B10" s="11">
        <f>MROUND(B6*B8+B9,10)</f>
        <v>2300</v>
      </c>
    </row>
    <row r="11" spans="1:10" x14ac:dyDescent="0.4">
      <c r="A11" s="6" t="s">
        <v>13</v>
      </c>
      <c r="B11" s="8">
        <f>B10-B7</f>
        <v>420</v>
      </c>
    </row>
    <row r="12" spans="1:10" x14ac:dyDescent="0.4">
      <c r="A12" s="6" t="s">
        <v>14</v>
      </c>
      <c r="B12" s="12">
        <f>IFERROR(B11/B7,0)</f>
        <v>0.22340425531914893</v>
      </c>
    </row>
    <row r="13" spans="1:10" x14ac:dyDescent="0.4">
      <c r="A13" s="6" t="s">
        <v>15</v>
      </c>
      <c r="B13" s="12">
        <f>IFERROR(B11/B10,0)</f>
        <v>0.18260869565217391</v>
      </c>
    </row>
    <row r="14" spans="1:10" ht="24" customHeight="1" x14ac:dyDescent="0.4">
      <c r="A14" s="13" t="s">
        <v>42</v>
      </c>
      <c r="B14" s="13" t="s">
        <v>43</v>
      </c>
      <c r="C14" s="13" t="s">
        <v>18</v>
      </c>
      <c r="D14" s="13" t="s">
        <v>19</v>
      </c>
      <c r="E14" s="13" t="s">
        <v>44</v>
      </c>
      <c r="F14" s="13" t="s">
        <v>21</v>
      </c>
      <c r="G14" s="13" t="s">
        <v>22</v>
      </c>
      <c r="H14" s="13" t="s">
        <v>23</v>
      </c>
      <c r="I14" s="13" t="s">
        <v>24</v>
      </c>
      <c r="J14" s="13" t="s">
        <v>25</v>
      </c>
    </row>
    <row r="15" spans="1:10" x14ac:dyDescent="0.4">
      <c r="A15" s="14">
        <v>1</v>
      </c>
      <c r="B15" s="14">
        <v>20</v>
      </c>
      <c r="C15" s="15">
        <v>10</v>
      </c>
      <c r="D15" s="14">
        <v>0</v>
      </c>
      <c r="E15" s="28">
        <f t="shared" ref="E15:E45" si="0">(A15+B15)/2</f>
        <v>10.5</v>
      </c>
      <c r="F15" s="10">
        <f t="shared" ref="F15:F45" si="1">E15*$B$3</f>
        <v>19.739999999999998</v>
      </c>
      <c r="G15" s="17">
        <f t="shared" ref="G15:G45" si="2">MROUND(E15*C15+D15,10)</f>
        <v>110</v>
      </c>
      <c r="H15" s="10">
        <f t="shared" ref="H15:H45" si="3">G15-F15</f>
        <v>90.26</v>
      </c>
      <c r="I15" s="18">
        <f t="shared" ref="I15:I45" si="4">IFERROR((G15-F15)/F15,0)</f>
        <v>4.572441742654509</v>
      </c>
      <c r="J15" s="18">
        <f t="shared" ref="J15:J45" si="5">IFERROR((G15-F15)/G15,0)</f>
        <v>0.82054545454545458</v>
      </c>
    </row>
    <row r="16" spans="1:10" x14ac:dyDescent="0.4">
      <c r="A16" s="19">
        <v>21</v>
      </c>
      <c r="B16" s="19">
        <v>50</v>
      </c>
      <c r="C16" s="20">
        <v>4.3</v>
      </c>
      <c r="D16" s="19">
        <v>0</v>
      </c>
      <c r="E16" s="29">
        <f t="shared" si="0"/>
        <v>35.5</v>
      </c>
      <c r="F16" s="22">
        <f t="shared" si="1"/>
        <v>66.739999999999995</v>
      </c>
      <c r="G16" s="23">
        <f t="shared" si="2"/>
        <v>150</v>
      </c>
      <c r="H16" s="22">
        <f t="shared" si="3"/>
        <v>83.26</v>
      </c>
      <c r="I16" s="24">
        <f t="shared" si="4"/>
        <v>1.2475277195085408</v>
      </c>
      <c r="J16" s="24">
        <f t="shared" si="5"/>
        <v>0.55506666666666671</v>
      </c>
    </row>
    <row r="17" spans="1:10" x14ac:dyDescent="0.4">
      <c r="A17" s="14">
        <v>51</v>
      </c>
      <c r="B17" s="14">
        <v>100</v>
      </c>
      <c r="C17" s="15">
        <v>3.9</v>
      </c>
      <c r="D17" s="14">
        <v>0</v>
      </c>
      <c r="E17" s="28">
        <f t="shared" si="0"/>
        <v>75.5</v>
      </c>
      <c r="F17" s="10">
        <f t="shared" si="1"/>
        <v>141.94</v>
      </c>
      <c r="G17" s="17">
        <f t="shared" si="2"/>
        <v>290</v>
      </c>
      <c r="H17" s="10">
        <f t="shared" si="3"/>
        <v>148.06</v>
      </c>
      <c r="I17" s="18">
        <f t="shared" si="4"/>
        <v>1.0431168099196844</v>
      </c>
      <c r="J17" s="18">
        <f t="shared" si="5"/>
        <v>0.51055172413793104</v>
      </c>
    </row>
    <row r="18" spans="1:10" x14ac:dyDescent="0.4">
      <c r="A18" s="19">
        <v>101</v>
      </c>
      <c r="B18" s="19">
        <v>125</v>
      </c>
      <c r="C18" s="20">
        <v>3.6</v>
      </c>
      <c r="D18" s="19">
        <v>0</v>
      </c>
      <c r="E18" s="29">
        <f t="shared" si="0"/>
        <v>113</v>
      </c>
      <c r="F18" s="22">
        <f t="shared" si="1"/>
        <v>212.44</v>
      </c>
      <c r="G18" s="23">
        <f t="shared" si="2"/>
        <v>410</v>
      </c>
      <c r="H18" s="22">
        <f t="shared" si="3"/>
        <v>197.56</v>
      </c>
      <c r="I18" s="24">
        <f t="shared" si="4"/>
        <v>0.92995669365467903</v>
      </c>
      <c r="J18" s="24">
        <f t="shared" si="5"/>
        <v>0.48185365853658535</v>
      </c>
    </row>
    <row r="19" spans="1:10" x14ac:dyDescent="0.4">
      <c r="A19" s="14">
        <v>126</v>
      </c>
      <c r="B19" s="14">
        <v>150</v>
      </c>
      <c r="C19" s="15">
        <v>3.6</v>
      </c>
      <c r="D19" s="14">
        <v>0</v>
      </c>
      <c r="E19" s="28">
        <f t="shared" si="0"/>
        <v>138</v>
      </c>
      <c r="F19" s="10">
        <f t="shared" si="1"/>
        <v>259.44</v>
      </c>
      <c r="G19" s="17">
        <f t="shared" si="2"/>
        <v>500</v>
      </c>
      <c r="H19" s="10">
        <f t="shared" si="3"/>
        <v>240.56</v>
      </c>
      <c r="I19" s="18">
        <f t="shared" si="4"/>
        <v>0.9272278754239901</v>
      </c>
      <c r="J19" s="18">
        <f t="shared" si="5"/>
        <v>0.48111999999999999</v>
      </c>
    </row>
    <row r="20" spans="1:10" x14ac:dyDescent="0.4">
      <c r="A20" s="19">
        <v>151</v>
      </c>
      <c r="B20" s="19">
        <v>200</v>
      </c>
      <c r="C20" s="20">
        <v>3.5</v>
      </c>
      <c r="D20" s="19">
        <v>0</v>
      </c>
      <c r="E20" s="29">
        <f t="shared" si="0"/>
        <v>175.5</v>
      </c>
      <c r="F20" s="22">
        <f t="shared" si="1"/>
        <v>329.94</v>
      </c>
      <c r="G20" s="23">
        <f t="shared" si="2"/>
        <v>610</v>
      </c>
      <c r="H20" s="22">
        <f t="shared" si="3"/>
        <v>280.06</v>
      </c>
      <c r="I20" s="24">
        <f t="shared" si="4"/>
        <v>0.84882099775716802</v>
      </c>
      <c r="J20" s="24">
        <f t="shared" si="5"/>
        <v>0.45911475409836067</v>
      </c>
    </row>
    <row r="21" spans="1:10" x14ac:dyDescent="0.4">
      <c r="A21" s="14">
        <v>201</v>
      </c>
      <c r="B21" s="14">
        <v>250</v>
      </c>
      <c r="C21" s="15">
        <v>3.3</v>
      </c>
      <c r="D21" s="14">
        <v>0</v>
      </c>
      <c r="E21" s="28">
        <f t="shared" si="0"/>
        <v>225.5</v>
      </c>
      <c r="F21" s="10">
        <f t="shared" si="1"/>
        <v>423.94</v>
      </c>
      <c r="G21" s="17">
        <f t="shared" si="2"/>
        <v>740</v>
      </c>
      <c r="H21" s="10">
        <f t="shared" si="3"/>
        <v>316.06</v>
      </c>
      <c r="I21" s="18">
        <f t="shared" si="4"/>
        <v>0.74553002783412747</v>
      </c>
      <c r="J21" s="18">
        <f t="shared" si="5"/>
        <v>0.42710810810810812</v>
      </c>
    </row>
    <row r="22" spans="1:10" x14ac:dyDescent="0.4">
      <c r="A22" s="19">
        <v>251</v>
      </c>
      <c r="B22" s="19">
        <v>300</v>
      </c>
      <c r="C22" s="20">
        <v>3.2</v>
      </c>
      <c r="D22" s="19">
        <v>0</v>
      </c>
      <c r="E22" s="29">
        <f t="shared" si="0"/>
        <v>275.5</v>
      </c>
      <c r="F22" s="22">
        <f t="shared" si="1"/>
        <v>517.93999999999994</v>
      </c>
      <c r="G22" s="23">
        <f t="shared" si="2"/>
        <v>880</v>
      </c>
      <c r="H22" s="22">
        <f t="shared" si="3"/>
        <v>362.06000000000006</v>
      </c>
      <c r="I22" s="24">
        <f t="shared" si="4"/>
        <v>0.69903849866779955</v>
      </c>
      <c r="J22" s="24">
        <f t="shared" si="5"/>
        <v>0.41143181818181823</v>
      </c>
    </row>
    <row r="23" spans="1:10" x14ac:dyDescent="0.4">
      <c r="A23" s="14">
        <v>301</v>
      </c>
      <c r="B23" s="14">
        <v>350</v>
      </c>
      <c r="C23" s="15">
        <v>3.1</v>
      </c>
      <c r="D23" s="14">
        <v>0</v>
      </c>
      <c r="E23" s="28">
        <f t="shared" si="0"/>
        <v>325.5</v>
      </c>
      <c r="F23" s="10">
        <f t="shared" si="1"/>
        <v>611.93999999999994</v>
      </c>
      <c r="G23" s="17">
        <f t="shared" si="2"/>
        <v>1010</v>
      </c>
      <c r="H23" s="10">
        <f t="shared" si="3"/>
        <v>398.06000000000006</v>
      </c>
      <c r="I23" s="18">
        <f t="shared" si="4"/>
        <v>0.65048860999444402</v>
      </c>
      <c r="J23" s="18">
        <f t="shared" si="5"/>
        <v>0.39411881188118819</v>
      </c>
    </row>
    <row r="24" spans="1:10" x14ac:dyDescent="0.4">
      <c r="A24" s="19">
        <v>351</v>
      </c>
      <c r="B24" s="19">
        <v>400</v>
      </c>
      <c r="C24" s="20">
        <v>3</v>
      </c>
      <c r="D24" s="19">
        <v>0</v>
      </c>
      <c r="E24" s="29">
        <f t="shared" si="0"/>
        <v>375.5</v>
      </c>
      <c r="F24" s="22">
        <f t="shared" si="1"/>
        <v>705.93999999999994</v>
      </c>
      <c r="G24" s="23">
        <f t="shared" si="2"/>
        <v>1130</v>
      </c>
      <c r="H24" s="22">
        <f t="shared" si="3"/>
        <v>424.06000000000006</v>
      </c>
      <c r="I24" s="24">
        <f t="shared" si="4"/>
        <v>0.60070260928690833</v>
      </c>
      <c r="J24" s="24">
        <f t="shared" si="5"/>
        <v>0.37527433628318591</v>
      </c>
    </row>
    <row r="25" spans="1:10" x14ac:dyDescent="0.4">
      <c r="A25" s="14">
        <v>401</v>
      </c>
      <c r="B25" s="14">
        <v>450</v>
      </c>
      <c r="C25" s="15">
        <v>2.9</v>
      </c>
      <c r="D25" s="14">
        <v>0</v>
      </c>
      <c r="E25" s="28">
        <f t="shared" si="0"/>
        <v>425.5</v>
      </c>
      <c r="F25" s="10">
        <f t="shared" si="1"/>
        <v>799.93999999999994</v>
      </c>
      <c r="G25" s="17">
        <f t="shared" si="2"/>
        <v>1230</v>
      </c>
      <c r="H25" s="10">
        <f t="shared" si="3"/>
        <v>430.06000000000006</v>
      </c>
      <c r="I25" s="18">
        <f t="shared" si="4"/>
        <v>0.53761532114908628</v>
      </c>
      <c r="J25" s="18">
        <f t="shared" si="5"/>
        <v>0.3496422764227643</v>
      </c>
    </row>
    <row r="26" spans="1:10" x14ac:dyDescent="0.4">
      <c r="A26" s="19">
        <v>451</v>
      </c>
      <c r="B26" s="19">
        <v>500</v>
      </c>
      <c r="C26" s="20">
        <v>2.6</v>
      </c>
      <c r="D26" s="19">
        <v>0</v>
      </c>
      <c r="E26" s="29">
        <f t="shared" si="0"/>
        <v>475.5</v>
      </c>
      <c r="F26" s="22">
        <f t="shared" si="1"/>
        <v>893.93999999999994</v>
      </c>
      <c r="G26" s="23">
        <f t="shared" si="2"/>
        <v>1240</v>
      </c>
      <c r="H26" s="22">
        <f t="shared" si="3"/>
        <v>346.06000000000006</v>
      </c>
      <c r="I26" s="24">
        <f t="shared" si="4"/>
        <v>0.38711770364901454</v>
      </c>
      <c r="J26" s="24">
        <f t="shared" si="5"/>
        <v>0.27908064516129039</v>
      </c>
    </row>
    <row r="27" spans="1:10" x14ac:dyDescent="0.4">
      <c r="A27" s="14">
        <v>501</v>
      </c>
      <c r="B27" s="14">
        <v>600</v>
      </c>
      <c r="C27" s="15">
        <v>2.5</v>
      </c>
      <c r="D27" s="14">
        <v>0</v>
      </c>
      <c r="E27" s="28">
        <f t="shared" si="0"/>
        <v>550.5</v>
      </c>
      <c r="F27" s="10">
        <f t="shared" si="1"/>
        <v>1034.94</v>
      </c>
      <c r="G27" s="17">
        <f t="shared" si="2"/>
        <v>1380</v>
      </c>
      <c r="H27" s="10">
        <f t="shared" si="3"/>
        <v>345.05999999999995</v>
      </c>
      <c r="I27" s="18">
        <f t="shared" si="4"/>
        <v>0.33341063250043473</v>
      </c>
      <c r="J27" s="18">
        <f t="shared" si="5"/>
        <v>0.25004347826086953</v>
      </c>
    </row>
    <row r="28" spans="1:10" x14ac:dyDescent="0.4">
      <c r="A28" s="19">
        <v>601</v>
      </c>
      <c r="B28" s="19">
        <v>700</v>
      </c>
      <c r="C28" s="20">
        <v>2.4</v>
      </c>
      <c r="D28" s="19">
        <v>0</v>
      </c>
      <c r="E28" s="29">
        <f t="shared" si="0"/>
        <v>650.5</v>
      </c>
      <c r="F28" s="22">
        <f t="shared" si="1"/>
        <v>1222.9399999999998</v>
      </c>
      <c r="G28" s="23">
        <f t="shared" si="2"/>
        <v>1560</v>
      </c>
      <c r="H28" s="22">
        <f t="shared" si="3"/>
        <v>337.06000000000017</v>
      </c>
      <c r="I28" s="24">
        <f t="shared" si="4"/>
        <v>0.27561450275565458</v>
      </c>
      <c r="J28" s="24">
        <f t="shared" si="5"/>
        <v>0.21606410256410266</v>
      </c>
    </row>
    <row r="29" spans="1:10" x14ac:dyDescent="0.4">
      <c r="A29" s="14">
        <v>701</v>
      </c>
      <c r="B29" s="14">
        <v>800</v>
      </c>
      <c r="C29" s="15">
        <v>2.4</v>
      </c>
      <c r="D29" s="14">
        <v>0</v>
      </c>
      <c r="E29" s="28">
        <f t="shared" si="0"/>
        <v>750.5</v>
      </c>
      <c r="F29" s="10">
        <f t="shared" si="1"/>
        <v>1410.9399999999998</v>
      </c>
      <c r="G29" s="17">
        <f t="shared" si="2"/>
        <v>1800</v>
      </c>
      <c r="H29" s="10">
        <f t="shared" si="3"/>
        <v>389.06000000000017</v>
      </c>
      <c r="I29" s="18">
        <f t="shared" si="4"/>
        <v>0.27574524784895194</v>
      </c>
      <c r="J29" s="18">
        <f t="shared" si="5"/>
        <v>0.21614444444444453</v>
      </c>
    </row>
    <row r="30" spans="1:10" x14ac:dyDescent="0.4">
      <c r="A30" s="19">
        <v>801</v>
      </c>
      <c r="B30" s="19">
        <v>900</v>
      </c>
      <c r="C30" s="20">
        <v>2.2999999999999998</v>
      </c>
      <c r="D30" s="19">
        <v>0</v>
      </c>
      <c r="E30" s="29">
        <f t="shared" si="0"/>
        <v>850.5</v>
      </c>
      <c r="F30" s="22">
        <f t="shared" si="1"/>
        <v>1598.9399999999998</v>
      </c>
      <c r="G30" s="23">
        <f t="shared" si="2"/>
        <v>1960</v>
      </c>
      <c r="H30" s="22">
        <f t="shared" si="3"/>
        <v>361.06000000000017</v>
      </c>
      <c r="I30" s="24">
        <f t="shared" si="4"/>
        <v>0.22581210051659237</v>
      </c>
      <c r="J30" s="24">
        <f t="shared" si="5"/>
        <v>0.1842142857142858</v>
      </c>
    </row>
    <row r="31" spans="1:10" x14ac:dyDescent="0.4">
      <c r="A31" s="14">
        <v>901</v>
      </c>
      <c r="B31" s="14">
        <v>1000</v>
      </c>
      <c r="C31" s="15">
        <v>2.2999999999999998</v>
      </c>
      <c r="D31" s="14">
        <v>0</v>
      </c>
      <c r="E31" s="28">
        <f t="shared" si="0"/>
        <v>950.5</v>
      </c>
      <c r="F31" s="10">
        <f t="shared" si="1"/>
        <v>1786.9399999999998</v>
      </c>
      <c r="G31" s="17">
        <f t="shared" si="2"/>
        <v>2190</v>
      </c>
      <c r="H31" s="10">
        <f t="shared" si="3"/>
        <v>403.06000000000017</v>
      </c>
      <c r="I31" s="18">
        <f t="shared" si="4"/>
        <v>0.22555877645584083</v>
      </c>
      <c r="J31" s="18">
        <f t="shared" si="5"/>
        <v>0.1840456621004567</v>
      </c>
    </row>
    <row r="32" spans="1:10" x14ac:dyDescent="0.4">
      <c r="A32" s="19">
        <v>1001</v>
      </c>
      <c r="B32" s="19">
        <v>1100</v>
      </c>
      <c r="C32" s="20">
        <v>2.2999999999999998</v>
      </c>
      <c r="D32" s="19">
        <v>0</v>
      </c>
      <c r="E32" s="29">
        <f t="shared" si="0"/>
        <v>1050.5</v>
      </c>
      <c r="F32" s="22">
        <f t="shared" si="1"/>
        <v>1974.9399999999998</v>
      </c>
      <c r="G32" s="23">
        <f t="shared" si="2"/>
        <v>2420</v>
      </c>
      <c r="H32" s="22">
        <f t="shared" si="3"/>
        <v>445.06000000000017</v>
      </c>
      <c r="I32" s="24">
        <f t="shared" si="4"/>
        <v>0.22535368163083447</v>
      </c>
      <c r="J32" s="24">
        <f t="shared" si="5"/>
        <v>0.18390909090909099</v>
      </c>
    </row>
    <row r="33" spans="1:10" x14ac:dyDescent="0.4">
      <c r="A33" s="14">
        <v>1101</v>
      </c>
      <c r="B33" s="14">
        <v>1200</v>
      </c>
      <c r="C33" s="15">
        <v>2.2999999999999998</v>
      </c>
      <c r="D33" s="14">
        <v>0</v>
      </c>
      <c r="E33" s="28">
        <f t="shared" si="0"/>
        <v>1150.5</v>
      </c>
      <c r="F33" s="10">
        <f t="shared" si="1"/>
        <v>2162.94</v>
      </c>
      <c r="G33" s="17">
        <f t="shared" si="2"/>
        <v>2650</v>
      </c>
      <c r="H33" s="10">
        <f t="shared" si="3"/>
        <v>487.05999999999995</v>
      </c>
      <c r="I33" s="18">
        <f t="shared" si="4"/>
        <v>0.22518423996967088</v>
      </c>
      <c r="J33" s="18">
        <f t="shared" si="5"/>
        <v>0.18379622641509433</v>
      </c>
    </row>
    <row r="34" spans="1:10" x14ac:dyDescent="0.4">
      <c r="A34" s="19">
        <v>1201</v>
      </c>
      <c r="B34" s="19">
        <v>1300</v>
      </c>
      <c r="C34" s="20">
        <v>2.2999999999999998</v>
      </c>
      <c r="D34" s="19">
        <v>0</v>
      </c>
      <c r="E34" s="29">
        <f t="shared" si="0"/>
        <v>1250.5</v>
      </c>
      <c r="F34" s="22">
        <f t="shared" si="1"/>
        <v>2350.94</v>
      </c>
      <c r="G34" s="23">
        <f t="shared" si="2"/>
        <v>2880</v>
      </c>
      <c r="H34" s="22">
        <f t="shared" si="3"/>
        <v>529.05999999999995</v>
      </c>
      <c r="I34" s="24">
        <f t="shared" si="4"/>
        <v>0.22504189813436326</v>
      </c>
      <c r="J34" s="24">
        <f t="shared" si="5"/>
        <v>0.18370138888888887</v>
      </c>
    </row>
    <row r="35" spans="1:10" x14ac:dyDescent="0.4">
      <c r="A35" s="14">
        <v>1301</v>
      </c>
      <c r="B35" s="14">
        <v>1400</v>
      </c>
      <c r="C35" s="15">
        <v>2.2999999999999998</v>
      </c>
      <c r="D35" s="14">
        <v>0</v>
      </c>
      <c r="E35" s="28">
        <f t="shared" si="0"/>
        <v>1350.5</v>
      </c>
      <c r="F35" s="10">
        <f t="shared" si="1"/>
        <v>2538.94</v>
      </c>
      <c r="G35" s="17">
        <f t="shared" si="2"/>
        <v>3110</v>
      </c>
      <c r="H35" s="10">
        <f t="shared" si="3"/>
        <v>571.05999999999995</v>
      </c>
      <c r="I35" s="18">
        <f t="shared" si="4"/>
        <v>0.22492063617100047</v>
      </c>
      <c r="J35" s="18">
        <f t="shared" si="5"/>
        <v>0.18362057877813504</v>
      </c>
    </row>
    <row r="36" spans="1:10" x14ac:dyDescent="0.4">
      <c r="A36" s="19">
        <v>1401</v>
      </c>
      <c r="B36" s="19">
        <v>1500</v>
      </c>
      <c r="C36" s="20">
        <v>2.2999999999999998</v>
      </c>
      <c r="D36" s="19">
        <v>0</v>
      </c>
      <c r="E36" s="29">
        <f t="shared" si="0"/>
        <v>1450.5</v>
      </c>
      <c r="F36" s="22">
        <f t="shared" si="1"/>
        <v>2726.94</v>
      </c>
      <c r="G36" s="23">
        <f t="shared" si="2"/>
        <v>3340</v>
      </c>
      <c r="H36" s="22">
        <f t="shared" si="3"/>
        <v>613.05999999999995</v>
      </c>
      <c r="I36" s="24">
        <f t="shared" si="4"/>
        <v>0.22481609423016272</v>
      </c>
      <c r="J36" s="24">
        <f t="shared" si="5"/>
        <v>0.1835508982035928</v>
      </c>
    </row>
    <row r="37" spans="1:10" x14ac:dyDescent="0.4">
      <c r="A37" s="14">
        <v>1501</v>
      </c>
      <c r="B37" s="14">
        <v>1700</v>
      </c>
      <c r="C37" s="15">
        <v>2.2999999999999998</v>
      </c>
      <c r="D37" s="14">
        <v>0</v>
      </c>
      <c r="E37" s="28">
        <f t="shared" si="0"/>
        <v>1600.5</v>
      </c>
      <c r="F37" s="10">
        <f t="shared" si="1"/>
        <v>3008.94</v>
      </c>
      <c r="G37" s="17">
        <f t="shared" si="2"/>
        <v>3680</v>
      </c>
      <c r="H37" s="10">
        <f t="shared" si="3"/>
        <v>671.06</v>
      </c>
      <c r="I37" s="18">
        <f t="shared" si="4"/>
        <v>0.22302206092510982</v>
      </c>
      <c r="J37" s="18">
        <f t="shared" si="5"/>
        <v>0.18235326086956521</v>
      </c>
    </row>
    <row r="38" spans="1:10" x14ac:dyDescent="0.4">
      <c r="A38" s="19">
        <v>1701</v>
      </c>
      <c r="B38" s="19">
        <v>1900</v>
      </c>
      <c r="C38" s="20">
        <v>2.2999999999999998</v>
      </c>
      <c r="D38" s="19">
        <v>0</v>
      </c>
      <c r="E38" s="29">
        <f t="shared" si="0"/>
        <v>1800.5</v>
      </c>
      <c r="F38" s="22">
        <f t="shared" si="1"/>
        <v>3384.9399999999996</v>
      </c>
      <c r="G38" s="23">
        <f t="shared" si="2"/>
        <v>4140</v>
      </c>
      <c r="H38" s="22">
        <f t="shared" si="3"/>
        <v>755.0600000000004</v>
      </c>
      <c r="I38" s="24">
        <f t="shared" si="4"/>
        <v>0.22306451517604461</v>
      </c>
      <c r="J38" s="24">
        <f t="shared" si="5"/>
        <v>0.18238164251207739</v>
      </c>
    </row>
    <row r="39" spans="1:10" x14ac:dyDescent="0.4">
      <c r="A39" s="14">
        <v>1901</v>
      </c>
      <c r="B39" s="14">
        <v>2100</v>
      </c>
      <c r="C39" s="15">
        <v>2.2999999999999998</v>
      </c>
      <c r="D39" s="14">
        <v>0</v>
      </c>
      <c r="E39" s="28">
        <f t="shared" si="0"/>
        <v>2000.5</v>
      </c>
      <c r="F39" s="10">
        <f t="shared" si="1"/>
        <v>3760.9399999999996</v>
      </c>
      <c r="G39" s="17">
        <f t="shared" si="2"/>
        <v>4600</v>
      </c>
      <c r="H39" s="10">
        <f t="shared" si="3"/>
        <v>839.0600000000004</v>
      </c>
      <c r="I39" s="18">
        <f t="shared" si="4"/>
        <v>0.22309848069897431</v>
      </c>
      <c r="J39" s="18">
        <f t="shared" si="5"/>
        <v>0.18240434782608705</v>
      </c>
    </row>
    <row r="40" spans="1:10" x14ac:dyDescent="0.4">
      <c r="A40" s="19">
        <v>2101</v>
      </c>
      <c r="B40" s="19">
        <v>2300</v>
      </c>
      <c r="C40" s="20">
        <v>2.2999999999999998</v>
      </c>
      <c r="D40" s="19">
        <v>0</v>
      </c>
      <c r="E40" s="29">
        <f t="shared" si="0"/>
        <v>2200.5</v>
      </c>
      <c r="F40" s="22">
        <f t="shared" si="1"/>
        <v>4136.9399999999996</v>
      </c>
      <c r="G40" s="23">
        <f t="shared" si="2"/>
        <v>5060</v>
      </c>
      <c r="H40" s="22">
        <f t="shared" si="3"/>
        <v>923.0600000000004</v>
      </c>
      <c r="I40" s="24">
        <f t="shared" si="4"/>
        <v>0.22312627207549554</v>
      </c>
      <c r="J40" s="24">
        <f t="shared" si="5"/>
        <v>0.18242292490118586</v>
      </c>
    </row>
    <row r="41" spans="1:10" x14ac:dyDescent="0.4">
      <c r="A41" s="14">
        <v>2301</v>
      </c>
      <c r="B41" s="14">
        <v>2500</v>
      </c>
      <c r="C41" s="15">
        <v>2.2999999999999998</v>
      </c>
      <c r="D41" s="14">
        <v>0</v>
      </c>
      <c r="E41" s="28">
        <f t="shared" si="0"/>
        <v>2400.5</v>
      </c>
      <c r="F41" s="10">
        <f t="shared" si="1"/>
        <v>4512.9399999999996</v>
      </c>
      <c r="G41" s="17">
        <f t="shared" si="2"/>
        <v>5520</v>
      </c>
      <c r="H41" s="10">
        <f t="shared" si="3"/>
        <v>1007.0600000000004</v>
      </c>
      <c r="I41" s="18">
        <f t="shared" si="4"/>
        <v>0.22314943252070724</v>
      </c>
      <c r="J41" s="18">
        <f t="shared" si="5"/>
        <v>0.18243840579710152</v>
      </c>
    </row>
    <row r="42" spans="1:10" x14ac:dyDescent="0.4">
      <c r="A42" s="19">
        <v>2501</v>
      </c>
      <c r="B42" s="19">
        <v>2700</v>
      </c>
      <c r="C42" s="20">
        <v>2.2000000000000002</v>
      </c>
      <c r="D42" s="19">
        <v>0</v>
      </c>
      <c r="E42" s="29">
        <f t="shared" si="0"/>
        <v>2600.5</v>
      </c>
      <c r="F42" s="22">
        <f t="shared" si="1"/>
        <v>4888.9399999999996</v>
      </c>
      <c r="G42" s="23">
        <f t="shared" si="2"/>
        <v>5720</v>
      </c>
      <c r="H42" s="22">
        <f t="shared" si="3"/>
        <v>831.0600000000004</v>
      </c>
      <c r="I42" s="24">
        <f t="shared" si="4"/>
        <v>0.16998776830969503</v>
      </c>
      <c r="J42" s="24">
        <f t="shared" si="5"/>
        <v>0.14529020979020987</v>
      </c>
    </row>
    <row r="43" spans="1:10" x14ac:dyDescent="0.4">
      <c r="A43" s="14">
        <v>2701</v>
      </c>
      <c r="B43" s="14">
        <v>3000</v>
      </c>
      <c r="C43" s="15">
        <v>2.2000000000000002</v>
      </c>
      <c r="D43" s="14">
        <v>0</v>
      </c>
      <c r="E43" s="28">
        <f t="shared" si="0"/>
        <v>2850.5</v>
      </c>
      <c r="F43" s="10">
        <f t="shared" si="1"/>
        <v>5358.94</v>
      </c>
      <c r="G43" s="17">
        <f t="shared" si="2"/>
        <v>6270</v>
      </c>
      <c r="H43" s="10">
        <f t="shared" si="3"/>
        <v>911.0600000000004</v>
      </c>
      <c r="I43" s="18">
        <f t="shared" si="4"/>
        <v>0.17000750148350241</v>
      </c>
      <c r="J43" s="18">
        <f t="shared" si="5"/>
        <v>0.1453046251993621</v>
      </c>
    </row>
    <row r="44" spans="1:10" x14ac:dyDescent="0.4">
      <c r="A44" s="19">
        <v>3001</v>
      </c>
      <c r="B44" s="19">
        <v>4000</v>
      </c>
      <c r="C44" s="20">
        <v>2.2000000000000002</v>
      </c>
      <c r="D44" s="19">
        <v>0</v>
      </c>
      <c r="E44" s="29">
        <f t="shared" si="0"/>
        <v>3500.5</v>
      </c>
      <c r="F44" s="22">
        <f t="shared" si="1"/>
        <v>6580.94</v>
      </c>
      <c r="G44" s="23">
        <f t="shared" si="2"/>
        <v>7700</v>
      </c>
      <c r="H44" s="22">
        <f t="shared" si="3"/>
        <v>1119.0600000000004</v>
      </c>
      <c r="I44" s="24">
        <f t="shared" si="4"/>
        <v>0.17004561658364922</v>
      </c>
      <c r="J44" s="24">
        <f t="shared" si="5"/>
        <v>0.14533246753246759</v>
      </c>
    </row>
    <row r="45" spans="1:10" x14ac:dyDescent="0.4">
      <c r="A45" s="14">
        <v>4000</v>
      </c>
      <c r="B45" s="14">
        <v>10000</v>
      </c>
      <c r="C45" s="15">
        <v>2.2000000000000002</v>
      </c>
      <c r="D45" s="14">
        <v>0</v>
      </c>
      <c r="E45" s="28">
        <f t="shared" si="0"/>
        <v>7000</v>
      </c>
      <c r="F45" s="10">
        <f t="shared" si="1"/>
        <v>13160</v>
      </c>
      <c r="G45" s="17">
        <f t="shared" si="2"/>
        <v>15400</v>
      </c>
      <c r="H45" s="10">
        <f t="shared" si="3"/>
        <v>2240</v>
      </c>
      <c r="I45" s="18">
        <f t="shared" si="4"/>
        <v>0.1702127659574468</v>
      </c>
      <c r="J45" s="18">
        <f t="shared" si="5"/>
        <v>0.14545454545454545</v>
      </c>
    </row>
    <row r="47" spans="1:10" x14ac:dyDescent="0.4">
      <c r="A47" s="25" t="s">
        <v>26</v>
      </c>
    </row>
    <row r="48" spans="1:10" x14ac:dyDescent="0.4">
      <c r="A48" s="26" t="s">
        <v>27</v>
      </c>
      <c r="B48" s="6" t="s">
        <v>28</v>
      </c>
    </row>
    <row r="49" spans="1:2" x14ac:dyDescent="0.4">
      <c r="A49" s="26" t="s">
        <v>29</v>
      </c>
      <c r="B49" s="6" t="s">
        <v>30</v>
      </c>
    </row>
    <row r="50" spans="1:2" x14ac:dyDescent="0.4">
      <c r="A50" s="26" t="s">
        <v>31</v>
      </c>
      <c r="B50" s="6" t="s">
        <v>32</v>
      </c>
    </row>
    <row r="51" spans="1:2" x14ac:dyDescent="0.4">
      <c r="A51" s="26" t="s">
        <v>33</v>
      </c>
      <c r="B51" s="6" t="s">
        <v>34</v>
      </c>
    </row>
    <row r="52" spans="1:2" x14ac:dyDescent="0.4">
      <c r="A52" s="26" t="s">
        <v>24</v>
      </c>
      <c r="B52" s="6" t="s">
        <v>35</v>
      </c>
    </row>
    <row r="53" spans="1:2" x14ac:dyDescent="0.4">
      <c r="A53" s="26" t="s">
        <v>25</v>
      </c>
      <c r="B53" s="6" t="s">
        <v>36</v>
      </c>
    </row>
  </sheetData>
  <mergeCells count="2">
    <mergeCell ref="A1:J1"/>
    <mergeCell ref="A5:B5"/>
  </mergeCells>
  <conditionalFormatting sqref="I15:I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Турция (en-tr)</vt:lpstr>
      <vt:lpstr>Украина (ru-ua)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Ruf</cp:lastModifiedBy>
  <dcterms:created xsi:type="dcterms:W3CDTF">2026-05-20T06:51:23Z</dcterms:created>
  <dcterms:modified xsi:type="dcterms:W3CDTF">2026-05-20T06:59:53Z</dcterms:modified>
</cp:coreProperties>
</file>